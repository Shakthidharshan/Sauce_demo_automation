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kthi dharshan\Downloads\"/>
    </mc:Choice>
  </mc:AlternateContent>
  <xr:revisionPtr revIDLastSave="0" documentId="13_ncr:1_{93617FAE-E275-4C15-83A5-D83936F9CC3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Cases'!$A$7:$K$50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2" l="1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B9" i="2" l="1"/>
  <c r="D9" i="2"/>
  <c r="F9" i="2"/>
  <c r="G9" i="2"/>
  <c r="C9" i="2"/>
  <c r="E9" i="2"/>
</calcChain>
</file>

<file path=xl/sharedStrings.xml><?xml version="1.0" encoding="utf-8"?>
<sst xmlns="http://schemas.openxmlformats.org/spreadsheetml/2006/main" count="506" uniqueCount="280">
  <si>
    <t>Test Case ID</t>
  </si>
  <si>
    <t>Module</t>
  </si>
  <si>
    <t>Scenario</t>
  </si>
  <si>
    <t>Preconditions</t>
  </si>
  <si>
    <t>Test Steps</t>
  </si>
  <si>
    <t>Test Data</t>
  </si>
  <si>
    <t>Expected Result</t>
  </si>
  <si>
    <t>Priority</t>
  </si>
  <si>
    <t>Test Type</t>
  </si>
  <si>
    <t>Actual Result</t>
  </si>
  <si>
    <t>Status</t>
  </si>
  <si>
    <t>Login</t>
  </si>
  <si>
    <t>Verify user can log in with valid standard user credentials</t>
  </si>
  <si>
    <t>1. Browser is open.
2. User has navigated to https://www.saucedemo.com/</t>
  </si>
  <si>
    <t>1. Enter username 'standard_user' in the Username field.
2. Enter password 'secret_sauce' in the Password field.
3. Click the Login button.</t>
  </si>
  <si>
    <t>Username: standard_user
Password: secret_sauce</t>
  </si>
  <si>
    <t>User is redirected to the Products page (URL contains /inventory.html) and the product list is displayed.</t>
  </si>
  <si>
    <t>High</t>
  </si>
  <si>
    <t>Positive</t>
  </si>
  <si>
    <t>Verify locked out user cannot log in</t>
  </si>
  <si>
    <t>1. Enter username 'locked_out_user' in the Username field.
2. Enter password 'secret_sauce' in the Password field.
3. Click the Login button.</t>
  </si>
  <si>
    <t>Username: locked_out_user
Password: secret_sauce</t>
  </si>
  <si>
    <t>Login is rejected. Error message 'Epic sadface: Sorry, this user has been locked out.' is displayed. User remains on the Login page.</t>
  </si>
  <si>
    <t>Negative</t>
  </si>
  <si>
    <t>Verify login fails with an invalid/unregistered username</t>
  </si>
  <si>
    <t>Login is rejected. Error message 'Epic sadface: Username and password do not match any user in this service' is displayed.</t>
  </si>
  <si>
    <t>Verify login fails with a valid username and incorrect password</t>
  </si>
  <si>
    <t>1. Enter username 'standard_user' in the Username field.
2. Enter password 'wrong_password' in the Password field.
3. Click the Login button.</t>
  </si>
  <si>
    <t>Username: standard_user
Password: wrong_password</t>
  </si>
  <si>
    <t>Verify validation message when both Username and Password fields are left blank</t>
  </si>
  <si>
    <t>1. Leave the Username field empty.
2. Leave the Password field empty.
3. Click the Login button.</t>
  </si>
  <si>
    <t>Username: (empty)
Password: (empty)</t>
  </si>
  <si>
    <t>Login is rejected. Error message 'Epic sadface: Username is required' is displayed.</t>
  </si>
  <si>
    <t>Medium</t>
  </si>
  <si>
    <t>Verify validation message when Username is blank but Password is entered</t>
  </si>
  <si>
    <t>1. Leave the Username field empty.
2. Enter password 'secret_sauce'.
3. Click the Login button.</t>
  </si>
  <si>
    <t>Username: (empty)
Password: secret_sauce</t>
  </si>
  <si>
    <t>Verify validation message when Password is blank but Username is entered</t>
  </si>
  <si>
    <t>1. Enter username 'standard_user'.
2. Leave the Password field empty.
3. Click the Login button.</t>
  </si>
  <si>
    <t>Username: standard_user
Password: (empty)</t>
  </si>
  <si>
    <t>Login is rejected. Error message 'Epic sadface: Password is required' is displayed.</t>
  </si>
  <si>
    <t>Verify username field is case-sensitive (boundary check on credential matching)</t>
  </si>
  <si>
    <t>1. Enter username 'Standard_User' (mixed case).
2. Enter password 'secret_sauce'.
3. Click the Login button.</t>
  </si>
  <si>
    <t>Username: Standard_User
Password: secret_sauce</t>
  </si>
  <si>
    <t>Login is rejected (username does not match, since valid usernames are lowercase). Error message is displayed.</t>
  </si>
  <si>
    <t>Low</t>
  </si>
  <si>
    <t>Verify application handles SQL-injection style input safely in login fields</t>
  </si>
  <si>
    <t>1. Enter " ' OR '1'='1 " in the Username field.
2. Enter " ' OR '1'='1 " in the Password field.
3. Click the Login button.</t>
  </si>
  <si>
    <t>Username: ' OR '1'='1
Password: ' OR '1'='1</t>
  </si>
  <si>
    <t>Login is rejected with the standard invalid-credentials error message. No script/SQL execution occurs and no sensitive error/stack trace is exposed.</t>
  </si>
  <si>
    <t>Verify problem_user can log in (known UI-bug account)</t>
  </si>
  <si>
    <t>1. Enter username 'problem_user'.
2. Enter password 'secret_sauce'.
3. Click the Login button.</t>
  </si>
  <si>
    <t>Username: problem_user
Password: secret_sauce</t>
  </si>
  <si>
    <t>User is redirected to the Products page. (Note: product images may render incorrectly for this account — log as observation, not a login defect.)</t>
  </si>
  <si>
    <t>Verify password characters are masked on entry</t>
  </si>
  <si>
    <t>1. Click the Password field.
2. Type 'secret_sauce'.</t>
  </si>
  <si>
    <t>Password: secret_sauce</t>
  </si>
  <si>
    <t>Each character typed is masked (displayed as dots/asterisks) and not shown in plain text.</t>
  </si>
  <si>
    <t>Products</t>
  </si>
  <si>
    <t>Verify all products are displayed on the Products page after login</t>
  </si>
  <si>
    <t>1. User is on the Login page.
2. User logs in with valid credentials (standard_user/secret_sauce).</t>
  </si>
  <si>
    <t>1. Observe the Products (inventory) page.</t>
  </si>
  <si>
    <t>N/A</t>
  </si>
  <si>
    <t>Verify sorting products by Name (A to Z)</t>
  </si>
  <si>
    <t>1. Click the sort dropdown.
2. Select 'Name (A to Z)'.</t>
  </si>
  <si>
    <t>Sort option: Name (A to Z)</t>
  </si>
  <si>
    <t>Products are re-ordered alphabetically in ascending order by name.</t>
  </si>
  <si>
    <t>Verify sorting products by Name (Z to A)</t>
  </si>
  <si>
    <t>1. Click the sort dropdown.
2. Select 'Name (Z to A)'.</t>
  </si>
  <si>
    <t>Sort option: Name (Z to A)</t>
  </si>
  <si>
    <t>Products are re-ordered alphabetically in descending order by name.</t>
  </si>
  <si>
    <t>Verify sorting products by Price (low to high)</t>
  </si>
  <si>
    <t>1. Click the sort dropdown.
2. Select 'Price (low to high)'.</t>
  </si>
  <si>
    <t>Sort option: Price (low to high)</t>
  </si>
  <si>
    <t>Products are re-ordered in ascending order of price.</t>
  </si>
  <si>
    <t>Verify sorting products by Price (high to low)</t>
  </si>
  <si>
    <t>1. Click the sort dropdown.
2. Select 'Price (high to low)'.</t>
  </si>
  <si>
    <t>Sort option: Price (high to low)</t>
  </si>
  <si>
    <t>Products are re-ordered in descending order of price.</t>
  </si>
  <si>
    <t>Verify a single product can be added to the cart</t>
  </si>
  <si>
    <t>1. Click 'Add to cart' button for 'Sauce Labs Backpack'.</t>
  </si>
  <si>
    <t>Product: Sauce Labs Backpack</t>
  </si>
  <si>
    <t>Button label changes to 'Remove'. Cart icon badge shows count '1'.</t>
  </si>
  <si>
    <t>Verify multiple products can be added to the cart</t>
  </si>
  <si>
    <t>1. Click 'Add to cart' for 'Sauce Labs Backpack'.
2. Click 'Add to cart' for 'Sauce Labs Bike Light'.
3. Click 'Add to cart' for 'Sauce Labs Bolt T-Shirt'.</t>
  </si>
  <si>
    <t>Products: Backpack, Bike Light, Bolt T-Shirt</t>
  </si>
  <si>
    <t>All three buttons change to 'Remove'. Cart icon badge shows count '3'.</t>
  </si>
  <si>
    <t>Verify a product can be removed directly from the Products page</t>
  </si>
  <si>
    <t>1. Click 'Add to cart' for 'Sauce Labs Backpack'.
2. Click 'Remove' for the same product.</t>
  </si>
  <si>
    <t>Button label reverts to 'Add to cart'. Cart icon badge is cleared (shows no count).</t>
  </si>
  <si>
    <t>Verify cart badge count updates accurately as items are added/removed</t>
  </si>
  <si>
    <t>1. Add 2 products to the cart.
2. Note the badge count.
3. Remove 1 product.
4. Note the badge count again.</t>
  </si>
  <si>
    <t>Products: any 2 items</t>
  </si>
  <si>
    <t>Badge shows '2' after adding two items, then updates to '1' after one item is removed.</t>
  </si>
  <si>
    <t>Verify product detail page opens with correct information</t>
  </si>
  <si>
    <t>1. Click on the product name/image of 'Sauce Labs Onesie'.</t>
  </si>
  <si>
    <t>Product: Sauce Labs Onesie</t>
  </si>
  <si>
    <t>Product detail page opens showing the same product name, full description, price, and image as on the Products page, along with an 'Add to cart' button and a 'Back to products' button.</t>
  </si>
  <si>
    <t>1. Click 'Add to cart' on all 6 products one by one.</t>
  </si>
  <si>
    <t>All 6 products</t>
  </si>
  <si>
    <t>All 'Add to cart' buttons change to 'Remove'. Cart badge shows count '6'.</t>
  </si>
  <si>
    <t>Verify Products page cannot be accessed directly via URL without logging in</t>
  </si>
  <si>
    <t>1. User is logged out / has no active session.</t>
  </si>
  <si>
    <t>1. Without logging in, directly navigate the browser to https://www.saucedemo.com/inventory.html.</t>
  </si>
  <si>
    <t>URL: /inventory.html (unauthenticated)</t>
  </si>
  <si>
    <t>User is not shown the Products page. User is redirected to the Login page, and error message 'Epic sadface: You can only access '/inventory.html' when you are logged in.' is displayed.</t>
  </si>
  <si>
    <t>Cart</t>
  </si>
  <si>
    <t>Verify items added on the Products page appear correctly in the Cart</t>
  </si>
  <si>
    <t>1. User is logged in as standard_user.
2. User is on the Products page.</t>
  </si>
  <si>
    <t>1. Add 'Sauce Labs Backpack' and 'Sauce Labs Bike Light' to the cart.
2. Click the Cart icon.</t>
  </si>
  <si>
    <t>Products: Backpack, Bike Light</t>
  </si>
  <si>
    <t>Cart page displays both products with correct name, description, price, and quantity of 1 each.</t>
  </si>
  <si>
    <t>Verify an item can be removed from the Cart page</t>
  </si>
  <si>
    <t>1. Add 'Sauce Labs Backpack' to the cart.
2. Open the Cart page.
3. Click 'Remove' next to the Backpack.</t>
  </si>
  <si>
    <t>Item is removed from the cart list. Cart badge count decreases accordingly (badge disappears if cart becomes empty).</t>
  </si>
  <si>
    <t>Verify Cart page displays correctly when no items have been added (empty state)</t>
  </si>
  <si>
    <t>1. Without adding any product, click the Cart icon.</t>
  </si>
  <si>
    <t>Cart page opens with no items listed and no badge count on the cart icon. 'Continue Shopping' and 'Checkout' buttons are still visible.</t>
  </si>
  <si>
    <t>Verify 'Continue Shopping' button navigates back to the Products page</t>
  </si>
  <si>
    <t>1. Open the Cart page.
2. Click 'Continue Shopping'.</t>
  </si>
  <si>
    <t>User is navigated back to the Products (inventory) page with previously added items still in the cart.</t>
  </si>
  <si>
    <t>Verify 'Checkout' button navigates to the Checkout Step One page</t>
  </si>
  <si>
    <t>1. Add a product to the cart.
2. Open the Cart page.
3. Click 'Checkout'.</t>
  </si>
  <si>
    <t>Product: any item</t>
  </si>
  <si>
    <t>User is navigated to the 'Checkout: Your Information' page (Step One) with First Name, Last Name, and Zip/Postal Code fields displayed.</t>
  </si>
  <si>
    <t>Verify behavior when attempting to check out with an empty cart (boundary)</t>
  </si>
  <si>
    <t>1. Ensure the cart has no items.
2. Open the Cart page.
3. Click 'Checkout'.</t>
  </si>
  <si>
    <t>Cart items: 0</t>
  </si>
  <si>
    <t>Application proceeds to the Checkout: Your Information page even with an empty cart, and the final overview reflects zero items and $0.00 item total (application-defined behavior — verify against expected business rule).</t>
  </si>
  <si>
    <t>Checkout</t>
  </si>
  <si>
    <t>Verify checkout completes successfully with valid First Name, Last Name, and Zip Code</t>
  </si>
  <si>
    <t>1. User is logged in as standard_user.
2. Cart contains at least one item.
3. User is on the Checkout: Your Information (Step One) page.</t>
  </si>
  <si>
    <t>User proceeds to the Overview page showing item total, tax, and total, then on clicking Finish sees the 'Thank you for your order!' confirmation (Checkout: Complete!) page.</t>
  </si>
  <si>
    <t>Verify validation error when First Name is left blank</t>
  </si>
  <si>
    <t>Checkout is blocked. Error message 'Error: First Name is required' is displayed and user remains on Step One.</t>
  </si>
  <si>
    <t>Verify validation error when Last Name is left blank</t>
  </si>
  <si>
    <t>1. Enter 'John' in First Name.
2. Leave Last Name empty.
3. Enter '12345' in Zip Code.
4. Click 'Continue'.</t>
  </si>
  <si>
    <t>First Name: John
Last Name: (empty)
Zip: 12345</t>
  </si>
  <si>
    <t>Checkout is blocked. Error message 'Error: Last Name is required' is displayed and user remains on Step One.</t>
  </si>
  <si>
    <t>Verify validation error when Zip/Postal Code is left blank</t>
  </si>
  <si>
    <t>Checkout is blocked. Error message 'Error: Postal Code is required' is displayed and user remains on Step One.</t>
  </si>
  <si>
    <t>Verify validation error when all checkout fields are left blank</t>
  </si>
  <si>
    <t>1. Leave First Name, Last Name, and Zip Code all empty.
2. Click 'Continue'.</t>
  </si>
  <si>
    <t>All fields: (empty)</t>
  </si>
  <si>
    <t>Checkout is blocked. Error message 'Error: First Name is required' is displayed (validates the first empty field encountered).</t>
  </si>
  <si>
    <t>Verify 'Cancel' button on Checkout Step One returns user to the Cart page</t>
  </si>
  <si>
    <t>1. Click 'Cancel' on the Checkout: Your Information page.</t>
  </si>
  <si>
    <t>User is navigated back to the Cart page with existing cart items unchanged.</t>
  </si>
  <si>
    <t>Verify Checkout Overview page displays correct item total, tax, and total amount</t>
  </si>
  <si>
    <t>1. User is logged in as standard_user.
2. At least one product has been added to the cart.
3. User has navigated to the Cart page.</t>
  </si>
  <si>
    <t>1. Note the sum of item prices in the cart.
2. Proceed through Checkout Step One with valid data.
3. On the Overview page, verify 'Item total', 'Tax', and 'Total' values.</t>
  </si>
  <si>
    <t>Item total equals the sum of individual item prices; Tax is calculated correctly; Total equals Item total + Tax, all displayed with correct currency formatting.</t>
  </si>
  <si>
    <t>1. User has completed Checkout Step One with valid details and is on the Checkout: Overview (Step Two) page.</t>
  </si>
  <si>
    <t>Verify clicking 'Finish' on the Overview page completes the order</t>
  </si>
  <si>
    <t>1. On the Checkout: Overview page, click 'Finish'.</t>
  </si>
  <si>
    <t>Order is placed successfully. 'Checkout: Complete!' page is displayed with the message 'Thank you for your order!' and a confirmation icon. Cart badge is cleared.</t>
  </si>
  <si>
    <t>Verify 'Back Home' button on order confirmation page returns to the Products page</t>
  </si>
  <si>
    <t>1. User has just completed an order and is on the Checkout: Complete! page.</t>
  </si>
  <si>
    <t>1. Click 'Back Home'.</t>
  </si>
  <si>
    <t>User is navigated back to the Products page, and the cart is empty (badge cleared).</t>
  </si>
  <si>
    <t>Verify checkout form accepts special characters in Name fields (boundary/validation)</t>
  </si>
  <si>
    <t>Form accepts the special characters (apostrophe, hyphen) without error and proceeds to the Overview page, displaying the entered values correctly (no truncation or corruption).</t>
  </si>
  <si>
    <t>Zip: 50-character numeric string</t>
  </si>
  <si>
    <t>Field either accepts the value and proceeds without breaking the layout, or enforces a reasonable max-length restriction — no application crash or overflow error occurs.</t>
  </si>
  <si>
    <t>Logout</t>
  </si>
  <si>
    <t>Verify user can log out successfully via the hamburger menu</t>
  </si>
  <si>
    <t>1. User is logged in as standard_user and on the Products page.</t>
  </si>
  <si>
    <t>1. Click the hamburger (menu) icon at the top-left.
2. Click 'Logout' from the menu.</t>
  </si>
  <si>
    <t>User is logged out and redirected to the Login page (URL is https://www.saucedemo.com/). Username and Password fields are empty and ready for new input.</t>
  </si>
  <si>
    <t>Verify Products page is not accessible via browser 'Back' button after logout</t>
  </si>
  <si>
    <t>1. Log out via the hamburger menu.
2. Click the browser's 'Back' button.</t>
  </si>
  <si>
    <t>User is not shown cached Products page content; user is redirected to (or remains on) the Login page and cannot view inventory without logging in again.</t>
  </si>
  <si>
    <t>Verify cart contents are cleared after logout and do not persist for a fresh login session</t>
  </si>
  <si>
    <t>1. Add 2 products to the cart.
2. Log out via the hamburger menu.
3. Log back in with 'standard_user' / 'secret_sauce'.
4. Check the cart badge/contents.</t>
  </si>
  <si>
    <t>Products: any 2 items
Username: standard_user
Password: secret_sauce</t>
  </si>
  <si>
    <t>Cart is empty on re-login (badge shows no count), confirming session/cart state does not leak across the logout boundary.</t>
  </si>
  <si>
    <t>SauceDemo (https://www.saucedemo.com/) — Test Case Summary</t>
  </si>
  <si>
    <t>Total Test Cases</t>
  </si>
  <si>
    <t>High Priority</t>
  </si>
  <si>
    <t>Medium Priority</t>
  </si>
  <si>
    <t>Low Priority</t>
  </si>
  <si>
    <t>TOTAL</t>
  </si>
  <si>
    <t>LOGIN_01</t>
  </si>
  <si>
    <t>LOGIN_02</t>
  </si>
  <si>
    <t>LOGIN_03</t>
  </si>
  <si>
    <t>LOGIN_04</t>
  </si>
  <si>
    <t>LOGIN_05</t>
  </si>
  <si>
    <t>LOGIN_06</t>
  </si>
  <si>
    <t>LOGIN_07</t>
  </si>
  <si>
    <t>LOGIN_08</t>
  </si>
  <si>
    <t>LOGIN_09</t>
  </si>
  <si>
    <t>LOGIN_10</t>
  </si>
  <si>
    <t>LOGIN_11</t>
  </si>
  <si>
    <t>PROD_01</t>
  </si>
  <si>
    <t>PROD_02</t>
  </si>
  <si>
    <t>PROD_03</t>
  </si>
  <si>
    <t>PROD_04</t>
  </si>
  <si>
    <t>PROD_05</t>
  </si>
  <si>
    <t>PROD_06</t>
  </si>
  <si>
    <t>PROD_07</t>
  </si>
  <si>
    <t>PROD_08</t>
  </si>
  <si>
    <t>PROD_09</t>
  </si>
  <si>
    <t>PROD_10</t>
  </si>
  <si>
    <t>PROD_11</t>
  </si>
  <si>
    <t>PROD_12</t>
  </si>
  <si>
    <t>CART_01</t>
  </si>
  <si>
    <t>CART_02</t>
  </si>
  <si>
    <t>CART_03</t>
  </si>
  <si>
    <t>CART_04</t>
  </si>
  <si>
    <t>CART_05</t>
  </si>
  <si>
    <t>CART_06</t>
  </si>
  <si>
    <t>CHKOUT_01</t>
  </si>
  <si>
    <t>CHKOUT_02</t>
  </si>
  <si>
    <t>CHKOUT_03</t>
  </si>
  <si>
    <t>CHKOUT_04</t>
  </si>
  <si>
    <t>CHKOUT_05</t>
  </si>
  <si>
    <t>CHKOUT_06</t>
  </si>
  <si>
    <t>CHKOUT_07</t>
  </si>
  <si>
    <t>CHKOUT_09</t>
  </si>
  <si>
    <t>CHKOUT_10</t>
  </si>
  <si>
    <t>CHKOUT_11</t>
  </si>
  <si>
    <t>CHKOUT_12</t>
  </si>
  <si>
    <t>LOGOUT_01</t>
  </si>
  <si>
    <t>LOGOUT_02</t>
  </si>
  <si>
    <t>LOGOUT_03</t>
  </si>
  <si>
    <t>NAME</t>
  </si>
  <si>
    <t>E_MAIL</t>
  </si>
  <si>
    <t>PROJECT_NAME</t>
  </si>
  <si>
    <t>URL</t>
  </si>
  <si>
    <t>Shakthi dharshan v</t>
  </si>
  <si>
    <t>Shakthisd223@gmail.com</t>
  </si>
  <si>
    <t>SauceDemo</t>
  </si>
  <si>
    <t>https://www.saucedemo.com/</t>
  </si>
  <si>
    <t>1. Enter username 'hello_user' in the Username field.
2. Enter password 'secret_sauce' in the Password field.
3. Click the Login button.</t>
  </si>
  <si>
    <t>Username: hello_user
Password: secret_sauce</t>
  </si>
  <si>
    <t>All  products are displayed, each with an image, name, description, price, and 'Add to cart' button.</t>
  </si>
  <si>
    <t>Verify all 6 products can be added to the cart at once</t>
  </si>
  <si>
    <t>1. Enter 'John' in First Name.
2. Enter 'Jones' in Last Name.
3. Enter '12345' in Zip/Postal Code.
4. Click 'Continue'.
5. Review the Overview page.
6. Click 'Finish'.</t>
  </si>
  <si>
    <t>First Name: John
Last Name: Jones
Zip: 12345</t>
  </si>
  <si>
    <t>1. Leave First Name empty.
2. Enter 'Jones' in Last Name.
3. Enter '12345' in Zip Code.
4. Click 'Continue'.</t>
  </si>
  <si>
    <t>First Name: (empty)
Last Name: Jones
Zip: 12345</t>
  </si>
  <si>
    <t>1. Enter 'John' in First Name.
2. Enter 'Jones' in Last Name.
3. Leave Zip/Postal Code empty.
4. Click 'Continue'.</t>
  </si>
  <si>
    <t>First Name: John
Last Name: Jones
Zip: (empty)</t>
  </si>
  <si>
    <t>1. Enter "O'viya-VijaY" in First Name.
2. Enter "V'ijay-oViYa" in Last Name.
3. Enter '12345' in Zip Code.
4. Click 'Continue'.</t>
  </si>
  <si>
    <t>First Name: O'viya-VijaY
Last Name: V'ijay-oViYa
Zip: 12345</t>
  </si>
  <si>
    <t xml:space="preserve">Verify checkout form behavior with an unusually long value in Zip/Postal Code field </t>
  </si>
  <si>
    <t>1. Enter 'John' in First Name.
2. Enter 'Jones' in Last Name.
3. Enter a 50-character numeric string in Zip Code.</t>
  </si>
  <si>
    <t>User is sucessfully logged in and redirected to the product page.</t>
  </si>
  <si>
    <t xml:space="preserve"> Executed</t>
  </si>
  <si>
    <t>Login is failed. Error message 'Epic sadface: Sorry, this user has been locked out.</t>
  </si>
  <si>
    <t>Login is Failed. Error message 'Epic sadface: Username and password do not match any user in this service</t>
  </si>
  <si>
    <t>Login is Failed. Error message 'Epic sadface: Username is required</t>
  </si>
  <si>
    <t>Login is Failed. Error message 'Epic sadface: Password is required'</t>
  </si>
  <si>
    <t>Login is Failed (username does not match, since valid usernames are lowercase)</t>
  </si>
  <si>
    <t>Login is Failed:Epic sadface: Username and password do not match any user in this service</t>
  </si>
  <si>
    <t>Successfully redirected to the products page</t>
  </si>
  <si>
    <t>password field is sucessfully marked as Each character typed is masked (displayed as dots/asterisks)</t>
  </si>
  <si>
    <t xml:space="preserve">All products are displayed successfully </t>
  </si>
  <si>
    <t>User is sucessfully able to re-ordered alphabetically in ascending order by name.</t>
  </si>
  <si>
    <t>User is sucessfully able to re-ordered alphabetically in descending order by name.</t>
  </si>
  <si>
    <t>User is sucessfully able to re-ordered in ascending order of price.</t>
  </si>
  <si>
    <t>User is sucessfully able to re-ordered in descending order of price.</t>
  </si>
  <si>
    <t>cart icon shows as per the expected result (successfully executed)</t>
  </si>
  <si>
    <t>Actual result is same as expected result .</t>
  </si>
  <si>
    <t>Button are changed to Remove</t>
  </si>
  <si>
    <t>(successfully executed)as per the expected result</t>
  </si>
  <si>
    <t>cart page displays both products with correct name ,description ,price and quantity as expected result</t>
  </si>
  <si>
    <t>user can able to see the difference in the cart(count)</t>
  </si>
  <si>
    <t>Shopping' and 'Checkout' buttons are visible without add any products to the cart</t>
  </si>
  <si>
    <t>user was successfully able to enter the firstname, lastname, postalcode.</t>
  </si>
  <si>
    <t>Checkout was failed:  Error message : First Name is required</t>
  </si>
  <si>
    <t>Checkout was failed:  Error message : last Name is required</t>
  </si>
  <si>
    <t>Checkout was failed:  Error message : Postal Code is required.</t>
  </si>
  <si>
    <t>user was successfully able to navigate back to the cart page with existing items unchanged.</t>
  </si>
  <si>
    <t>order pages shows the message as per the expected result</t>
  </si>
  <si>
    <t xml:space="preserve">End User can able to enter the special characters </t>
  </si>
  <si>
    <t>User can able to enter the postal code more than 50 characters</t>
  </si>
  <si>
    <t>user can successfully logout</t>
  </si>
  <si>
    <t>Products page is not accessible via browser 'Back' button after logout</t>
  </si>
  <si>
    <t xml:space="preserve">Failed, cart item is not getting cleared after the user is once loged in, and loged out ,cart items remain same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</si>
</sst>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1"/>
    <xf numFmtId="0" fontId="10" fillId="0" borderId="1" xfId="0" applyFont="1" applyBorder="1" applyAlignment="1">
      <alignment horizontal="left" vertical="top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kthisd2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0"/>
  <sheetViews>
    <sheetView tabSelected="1" zoomScale="83" zoomScaleNormal="94" workbookViewId="0">
      <pane ySplit="7" topLeftCell="A8" activePane="bottomLeft" state="frozen"/>
      <selection pane="bottomLeft" activeCell="F9" sqref="F9"/>
    </sheetView>
  </sheetViews>
  <sheetFormatPr defaultColWidth="8.6640625" defaultRowHeight="14.4" x14ac:dyDescent="0.3"/>
  <cols>
    <col min="1" max="1" width="16.5546875" customWidth="1"/>
    <col min="2" max="2" width="17.88671875" customWidth="1"/>
    <col min="3" max="3" width="34" customWidth="1"/>
    <col min="4" max="4" width="30" customWidth="1"/>
    <col min="5" max="5" width="45" customWidth="1"/>
    <col min="6" max="6" width="24" customWidth="1"/>
    <col min="7" max="7" width="42" customWidth="1"/>
    <col min="8" max="8" width="10" customWidth="1"/>
    <col min="9" max="9" width="12" customWidth="1"/>
    <col min="10" max="10" width="32.88671875" customWidth="1"/>
    <col min="11" max="11" width="12" customWidth="1"/>
  </cols>
  <sheetData>
    <row r="2" spans="1:11" x14ac:dyDescent="0.3">
      <c r="A2" s="14" t="s">
        <v>225</v>
      </c>
      <c r="B2" t="s">
        <v>229</v>
      </c>
    </row>
    <row r="3" spans="1:11" x14ac:dyDescent="0.3">
      <c r="A3" s="14" t="s">
        <v>226</v>
      </c>
      <c r="B3" s="15" t="s">
        <v>230</v>
      </c>
    </row>
    <row r="4" spans="1:11" x14ac:dyDescent="0.3">
      <c r="A4" s="14" t="s">
        <v>227</v>
      </c>
      <c r="B4" t="s">
        <v>231</v>
      </c>
    </row>
    <row r="5" spans="1:11" x14ac:dyDescent="0.3">
      <c r="A5" s="14" t="s">
        <v>228</v>
      </c>
      <c r="B5" t="s">
        <v>232</v>
      </c>
    </row>
    <row r="7" spans="1:11" ht="21.75" customHeight="1" x14ac:dyDescent="0.3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</row>
    <row r="8" spans="1:11" ht="66" x14ac:dyDescent="0.3">
      <c r="A8" s="13" t="s">
        <v>182</v>
      </c>
      <c r="B8" s="7" t="s">
        <v>11</v>
      </c>
      <c r="C8" s="3" t="s">
        <v>12</v>
      </c>
      <c r="D8" s="16" t="s">
        <v>13</v>
      </c>
      <c r="E8" s="3" t="s">
        <v>14</v>
      </c>
      <c r="F8" s="3" t="s">
        <v>15</v>
      </c>
      <c r="G8" s="3" t="s">
        <v>16</v>
      </c>
      <c r="H8" s="11" t="s">
        <v>17</v>
      </c>
      <c r="I8" s="12" t="s">
        <v>18</v>
      </c>
      <c r="J8" s="4" t="s">
        <v>247</v>
      </c>
      <c r="K8" s="4" t="s">
        <v>248</v>
      </c>
    </row>
    <row r="9" spans="1:11" ht="66" x14ac:dyDescent="0.3">
      <c r="A9" s="13" t="s">
        <v>183</v>
      </c>
      <c r="B9" s="7" t="s">
        <v>11</v>
      </c>
      <c r="C9" s="3" t="s">
        <v>19</v>
      </c>
      <c r="D9" s="3" t="s">
        <v>13</v>
      </c>
      <c r="E9" s="16" t="s">
        <v>20</v>
      </c>
      <c r="F9" s="3" t="s">
        <v>21</v>
      </c>
      <c r="G9" s="3" t="s">
        <v>22</v>
      </c>
      <c r="H9" s="11" t="s">
        <v>17</v>
      </c>
      <c r="I9" s="12" t="s">
        <v>23</v>
      </c>
      <c r="J9" s="4" t="s">
        <v>249</v>
      </c>
      <c r="K9" s="4" t="s">
        <v>248</v>
      </c>
    </row>
    <row r="10" spans="1:11" ht="52.8" x14ac:dyDescent="0.3">
      <c r="A10" s="13" t="s">
        <v>184</v>
      </c>
      <c r="B10" s="7" t="s">
        <v>11</v>
      </c>
      <c r="C10" s="3" t="s">
        <v>24</v>
      </c>
      <c r="D10" s="3" t="s">
        <v>13</v>
      </c>
      <c r="E10" s="16" t="s">
        <v>233</v>
      </c>
      <c r="F10" s="16" t="s">
        <v>234</v>
      </c>
      <c r="G10" s="3" t="s">
        <v>25</v>
      </c>
      <c r="H10" s="11" t="s">
        <v>17</v>
      </c>
      <c r="I10" s="12" t="s">
        <v>23</v>
      </c>
      <c r="J10" s="4" t="s">
        <v>250</v>
      </c>
      <c r="K10" s="4" t="s">
        <v>248</v>
      </c>
    </row>
    <row r="11" spans="1:11" ht="66" x14ac:dyDescent="0.3">
      <c r="A11" s="13" t="s">
        <v>185</v>
      </c>
      <c r="B11" s="7" t="s">
        <v>11</v>
      </c>
      <c r="C11" s="3" t="s">
        <v>26</v>
      </c>
      <c r="D11" s="3" t="s">
        <v>13</v>
      </c>
      <c r="E11" s="3" t="s">
        <v>27</v>
      </c>
      <c r="F11" s="3" t="s">
        <v>28</v>
      </c>
      <c r="G11" s="3" t="s">
        <v>25</v>
      </c>
      <c r="H11" s="11" t="s">
        <v>17</v>
      </c>
      <c r="I11" s="12" t="s">
        <v>23</v>
      </c>
      <c r="J11" s="4" t="s">
        <v>250</v>
      </c>
      <c r="K11" s="4" t="s">
        <v>248</v>
      </c>
    </row>
    <row r="12" spans="1:11" ht="39.6" x14ac:dyDescent="0.3">
      <c r="A12" s="13" t="s">
        <v>186</v>
      </c>
      <c r="B12" s="7" t="s">
        <v>11</v>
      </c>
      <c r="C12" s="3" t="s">
        <v>29</v>
      </c>
      <c r="D12" s="3" t="s">
        <v>13</v>
      </c>
      <c r="E12" s="3" t="s">
        <v>30</v>
      </c>
      <c r="F12" s="3" t="s">
        <v>31</v>
      </c>
      <c r="G12" s="3" t="s">
        <v>32</v>
      </c>
      <c r="H12" s="11" t="s">
        <v>33</v>
      </c>
      <c r="I12" s="12" t="s">
        <v>23</v>
      </c>
      <c r="J12" s="4" t="s">
        <v>251</v>
      </c>
      <c r="K12" s="4" t="s">
        <v>248</v>
      </c>
    </row>
    <row r="13" spans="1:11" ht="39.6" x14ac:dyDescent="0.3">
      <c r="A13" s="13" t="s">
        <v>187</v>
      </c>
      <c r="B13" s="7" t="s">
        <v>11</v>
      </c>
      <c r="C13" s="3" t="s">
        <v>34</v>
      </c>
      <c r="D13" s="3" t="s">
        <v>13</v>
      </c>
      <c r="E13" s="3" t="s">
        <v>35</v>
      </c>
      <c r="F13" s="3" t="s">
        <v>36</v>
      </c>
      <c r="G13" s="3" t="s">
        <v>32</v>
      </c>
      <c r="H13" s="11" t="s">
        <v>33</v>
      </c>
      <c r="I13" s="12" t="s">
        <v>23</v>
      </c>
      <c r="J13" s="4" t="s">
        <v>251</v>
      </c>
      <c r="K13" s="4" t="s">
        <v>248</v>
      </c>
    </row>
    <row r="14" spans="1:11" ht="39.6" x14ac:dyDescent="0.3">
      <c r="A14" s="13" t="s">
        <v>188</v>
      </c>
      <c r="B14" s="7" t="s">
        <v>11</v>
      </c>
      <c r="C14" s="3" t="s">
        <v>37</v>
      </c>
      <c r="D14" s="3" t="s">
        <v>13</v>
      </c>
      <c r="E14" s="3" t="s">
        <v>38</v>
      </c>
      <c r="F14" s="3" t="s">
        <v>39</v>
      </c>
      <c r="G14" s="3" t="s">
        <v>40</v>
      </c>
      <c r="H14" s="11" t="s">
        <v>33</v>
      </c>
      <c r="I14" s="12" t="s">
        <v>23</v>
      </c>
      <c r="J14" s="4" t="s">
        <v>252</v>
      </c>
      <c r="K14" s="4" t="s">
        <v>248</v>
      </c>
    </row>
    <row r="15" spans="1:11" ht="39.6" x14ac:dyDescent="0.3">
      <c r="A15" s="13" t="s">
        <v>189</v>
      </c>
      <c r="B15" s="7" t="s">
        <v>11</v>
      </c>
      <c r="C15" s="3" t="s">
        <v>41</v>
      </c>
      <c r="D15" s="3" t="s">
        <v>13</v>
      </c>
      <c r="E15" s="3" t="s">
        <v>42</v>
      </c>
      <c r="F15" s="16" t="s">
        <v>43</v>
      </c>
      <c r="G15" s="3" t="s">
        <v>44</v>
      </c>
      <c r="H15" s="11" t="s">
        <v>45</v>
      </c>
      <c r="I15" s="12" t="s">
        <v>23</v>
      </c>
      <c r="J15" s="4" t="s">
        <v>253</v>
      </c>
      <c r="K15" s="4" t="s">
        <v>248</v>
      </c>
    </row>
    <row r="16" spans="1:11" ht="52.8" x14ac:dyDescent="0.3">
      <c r="A16" s="13" t="s">
        <v>190</v>
      </c>
      <c r="B16" s="7" t="s">
        <v>11</v>
      </c>
      <c r="C16" s="3" t="s">
        <v>46</v>
      </c>
      <c r="D16" s="3" t="s">
        <v>13</v>
      </c>
      <c r="E16" s="3" t="s">
        <v>47</v>
      </c>
      <c r="F16" s="3" t="s">
        <v>48</v>
      </c>
      <c r="G16" s="3" t="s">
        <v>49</v>
      </c>
      <c r="H16" s="11" t="s">
        <v>17</v>
      </c>
      <c r="I16" s="12" t="s">
        <v>23</v>
      </c>
      <c r="J16" s="4" t="s">
        <v>254</v>
      </c>
      <c r="K16" s="4" t="s">
        <v>248</v>
      </c>
    </row>
    <row r="17" spans="1:11" ht="52.8" x14ac:dyDescent="0.3">
      <c r="A17" s="13" t="s">
        <v>191</v>
      </c>
      <c r="B17" s="7" t="s">
        <v>11</v>
      </c>
      <c r="C17" s="3" t="s">
        <v>50</v>
      </c>
      <c r="D17" s="3" t="s">
        <v>13</v>
      </c>
      <c r="E17" s="3" t="s">
        <v>51</v>
      </c>
      <c r="F17" s="3" t="s">
        <v>52</v>
      </c>
      <c r="G17" s="3" t="s">
        <v>53</v>
      </c>
      <c r="H17" s="11" t="s">
        <v>33</v>
      </c>
      <c r="I17" s="12" t="s">
        <v>18</v>
      </c>
      <c r="J17" s="4" t="s">
        <v>255</v>
      </c>
      <c r="K17" s="4" t="s">
        <v>248</v>
      </c>
    </row>
    <row r="18" spans="1:11" ht="39.6" x14ac:dyDescent="0.3">
      <c r="A18" s="13" t="s">
        <v>192</v>
      </c>
      <c r="B18" s="7" t="s">
        <v>11</v>
      </c>
      <c r="C18" s="3" t="s">
        <v>54</v>
      </c>
      <c r="D18" s="3" t="s">
        <v>13</v>
      </c>
      <c r="E18" s="3" t="s">
        <v>55</v>
      </c>
      <c r="F18" s="3" t="s">
        <v>56</v>
      </c>
      <c r="G18" s="3" t="s">
        <v>57</v>
      </c>
      <c r="H18" s="11" t="s">
        <v>33</v>
      </c>
      <c r="I18" s="12" t="s">
        <v>18</v>
      </c>
      <c r="J18" s="4" t="s">
        <v>256</v>
      </c>
      <c r="K18" s="4" t="s">
        <v>248</v>
      </c>
    </row>
    <row r="19" spans="1:11" ht="52.8" x14ac:dyDescent="0.3">
      <c r="A19" s="13" t="s">
        <v>193</v>
      </c>
      <c r="B19" s="8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235</v>
      </c>
      <c r="H19" s="11" t="s">
        <v>17</v>
      </c>
      <c r="I19" s="12" t="s">
        <v>18</v>
      </c>
      <c r="J19" s="4" t="s">
        <v>257</v>
      </c>
      <c r="K19" s="4" t="s">
        <v>248</v>
      </c>
    </row>
    <row r="20" spans="1:11" ht="52.8" x14ac:dyDescent="0.3">
      <c r="A20" s="13" t="s">
        <v>194</v>
      </c>
      <c r="B20" s="8" t="s">
        <v>58</v>
      </c>
      <c r="C20" s="3" t="s">
        <v>63</v>
      </c>
      <c r="D20" s="3" t="s">
        <v>60</v>
      </c>
      <c r="E20" s="3" t="s">
        <v>64</v>
      </c>
      <c r="F20" s="3" t="s">
        <v>65</v>
      </c>
      <c r="G20" s="3" t="s">
        <v>66</v>
      </c>
      <c r="H20" s="11" t="s">
        <v>33</v>
      </c>
      <c r="I20" s="12" t="s">
        <v>18</v>
      </c>
      <c r="J20" s="4" t="s">
        <v>258</v>
      </c>
      <c r="K20" s="4" t="s">
        <v>248</v>
      </c>
    </row>
    <row r="21" spans="1:11" ht="52.8" x14ac:dyDescent="0.3">
      <c r="A21" s="13" t="s">
        <v>195</v>
      </c>
      <c r="B21" s="8" t="s">
        <v>58</v>
      </c>
      <c r="C21" s="3" t="s">
        <v>67</v>
      </c>
      <c r="D21" s="3" t="s">
        <v>60</v>
      </c>
      <c r="E21" s="3" t="s">
        <v>68</v>
      </c>
      <c r="F21" s="3" t="s">
        <v>69</v>
      </c>
      <c r="G21" s="3" t="s">
        <v>70</v>
      </c>
      <c r="H21" s="11" t="s">
        <v>33</v>
      </c>
      <c r="I21" s="12" t="s">
        <v>18</v>
      </c>
      <c r="J21" s="4" t="s">
        <v>259</v>
      </c>
      <c r="K21" s="4" t="s">
        <v>248</v>
      </c>
    </row>
    <row r="22" spans="1:11" ht="52.8" x14ac:dyDescent="0.3">
      <c r="A22" s="13" t="s">
        <v>196</v>
      </c>
      <c r="B22" s="8" t="s">
        <v>58</v>
      </c>
      <c r="C22" s="3" t="s">
        <v>71</v>
      </c>
      <c r="D22" s="3" t="s">
        <v>60</v>
      </c>
      <c r="E22" s="3" t="s">
        <v>72</v>
      </c>
      <c r="F22" s="3" t="s">
        <v>73</v>
      </c>
      <c r="G22" s="3" t="s">
        <v>74</v>
      </c>
      <c r="H22" s="11" t="s">
        <v>33</v>
      </c>
      <c r="I22" s="12" t="s">
        <v>18</v>
      </c>
      <c r="J22" s="4" t="s">
        <v>260</v>
      </c>
      <c r="K22" s="4" t="s">
        <v>248</v>
      </c>
    </row>
    <row r="23" spans="1:11" ht="52.8" x14ac:dyDescent="0.3">
      <c r="A23" s="13" t="s">
        <v>197</v>
      </c>
      <c r="B23" s="8" t="s">
        <v>58</v>
      </c>
      <c r="C23" s="3" t="s">
        <v>75</v>
      </c>
      <c r="D23" s="3" t="s">
        <v>60</v>
      </c>
      <c r="E23" s="3" t="s">
        <v>76</v>
      </c>
      <c r="F23" s="3" t="s">
        <v>77</v>
      </c>
      <c r="G23" s="3" t="s">
        <v>78</v>
      </c>
      <c r="H23" s="11" t="s">
        <v>33</v>
      </c>
      <c r="I23" s="12" t="s">
        <v>18</v>
      </c>
      <c r="J23" s="4" t="s">
        <v>261</v>
      </c>
      <c r="K23" s="4" t="s">
        <v>248</v>
      </c>
    </row>
    <row r="24" spans="1:11" ht="52.8" x14ac:dyDescent="0.3">
      <c r="A24" s="13" t="s">
        <v>198</v>
      </c>
      <c r="B24" s="8" t="s">
        <v>58</v>
      </c>
      <c r="C24" s="3" t="s">
        <v>79</v>
      </c>
      <c r="D24" s="3" t="s">
        <v>60</v>
      </c>
      <c r="E24" s="3" t="s">
        <v>80</v>
      </c>
      <c r="F24" s="3" t="s">
        <v>81</v>
      </c>
      <c r="G24" s="3" t="s">
        <v>82</v>
      </c>
      <c r="H24" s="11" t="s">
        <v>17</v>
      </c>
      <c r="I24" s="12" t="s">
        <v>18</v>
      </c>
      <c r="J24" s="4" t="s">
        <v>262</v>
      </c>
      <c r="K24" s="4" t="s">
        <v>248</v>
      </c>
    </row>
    <row r="25" spans="1:11" ht="52.8" x14ac:dyDescent="0.3">
      <c r="A25" s="13" t="s">
        <v>199</v>
      </c>
      <c r="B25" s="8" t="s">
        <v>58</v>
      </c>
      <c r="C25" s="3" t="s">
        <v>83</v>
      </c>
      <c r="D25" s="3" t="s">
        <v>60</v>
      </c>
      <c r="E25" s="3" t="s">
        <v>84</v>
      </c>
      <c r="F25" s="3" t="s">
        <v>85</v>
      </c>
      <c r="G25" s="3" t="s">
        <v>86</v>
      </c>
      <c r="H25" s="11" t="s">
        <v>17</v>
      </c>
      <c r="I25" s="12" t="s">
        <v>18</v>
      </c>
      <c r="J25" s="4" t="s">
        <v>265</v>
      </c>
      <c r="K25" s="4" t="s">
        <v>248</v>
      </c>
    </row>
    <row r="26" spans="1:11" ht="52.8" x14ac:dyDescent="0.3">
      <c r="A26" s="13" t="s">
        <v>200</v>
      </c>
      <c r="B26" s="8" t="s">
        <v>58</v>
      </c>
      <c r="C26" s="3" t="s">
        <v>87</v>
      </c>
      <c r="D26" s="3" t="s">
        <v>60</v>
      </c>
      <c r="E26" s="3" t="s">
        <v>88</v>
      </c>
      <c r="F26" s="3" t="s">
        <v>81</v>
      </c>
      <c r="G26" s="3" t="s">
        <v>89</v>
      </c>
      <c r="H26" s="11" t="s">
        <v>33</v>
      </c>
      <c r="I26" s="12" t="s">
        <v>18</v>
      </c>
      <c r="J26" s="4" t="s">
        <v>263</v>
      </c>
      <c r="K26" s="4" t="s">
        <v>248</v>
      </c>
    </row>
    <row r="27" spans="1:11" ht="52.8" x14ac:dyDescent="0.3">
      <c r="A27" s="13" t="s">
        <v>201</v>
      </c>
      <c r="B27" s="8" t="s">
        <v>58</v>
      </c>
      <c r="C27" s="3" t="s">
        <v>90</v>
      </c>
      <c r="D27" s="3" t="s">
        <v>60</v>
      </c>
      <c r="E27" s="3" t="s">
        <v>91</v>
      </c>
      <c r="F27" s="3" t="s">
        <v>92</v>
      </c>
      <c r="G27" s="3" t="s">
        <v>93</v>
      </c>
      <c r="H27" s="11" t="s">
        <v>17</v>
      </c>
      <c r="I27" s="12" t="s">
        <v>18</v>
      </c>
      <c r="J27" s="4" t="s">
        <v>263</v>
      </c>
      <c r="K27" s="4" t="s">
        <v>248</v>
      </c>
    </row>
    <row r="28" spans="1:11" ht="79.2" x14ac:dyDescent="0.3">
      <c r="A28" s="13" t="s">
        <v>202</v>
      </c>
      <c r="B28" s="8" t="s">
        <v>58</v>
      </c>
      <c r="C28" s="3" t="s">
        <v>94</v>
      </c>
      <c r="D28" s="3" t="s">
        <v>60</v>
      </c>
      <c r="E28" s="3" t="s">
        <v>95</v>
      </c>
      <c r="F28" s="3" t="s">
        <v>96</v>
      </c>
      <c r="G28" s="3" t="s">
        <v>97</v>
      </c>
      <c r="H28" s="11" t="s">
        <v>33</v>
      </c>
      <c r="I28" s="12" t="s">
        <v>18</v>
      </c>
      <c r="J28" s="3" t="s">
        <v>97</v>
      </c>
      <c r="K28" s="4" t="s">
        <v>248</v>
      </c>
    </row>
    <row r="29" spans="1:11" ht="52.8" x14ac:dyDescent="0.3">
      <c r="A29" s="13" t="s">
        <v>203</v>
      </c>
      <c r="B29" s="8" t="s">
        <v>58</v>
      </c>
      <c r="C29" s="3" t="s">
        <v>236</v>
      </c>
      <c r="D29" s="3" t="s">
        <v>60</v>
      </c>
      <c r="E29" s="3" t="s">
        <v>98</v>
      </c>
      <c r="F29" s="3" t="s">
        <v>99</v>
      </c>
      <c r="G29" s="3" t="s">
        <v>100</v>
      </c>
      <c r="H29" s="11" t="s">
        <v>33</v>
      </c>
      <c r="I29" s="12" t="s">
        <v>18</v>
      </c>
      <c r="J29" s="4" t="s">
        <v>264</v>
      </c>
      <c r="K29" s="4" t="s">
        <v>248</v>
      </c>
    </row>
    <row r="30" spans="1:11" ht="66" x14ac:dyDescent="0.3">
      <c r="A30" s="13" t="s">
        <v>204</v>
      </c>
      <c r="B30" s="8" t="s">
        <v>58</v>
      </c>
      <c r="C30" s="3" t="s">
        <v>101</v>
      </c>
      <c r="D30" s="3" t="s">
        <v>102</v>
      </c>
      <c r="E30" s="3" t="s">
        <v>103</v>
      </c>
      <c r="F30" s="3" t="s">
        <v>104</v>
      </c>
      <c r="G30" s="3" t="s">
        <v>105</v>
      </c>
      <c r="H30" s="11" t="s">
        <v>17</v>
      </c>
      <c r="I30" s="12" t="s">
        <v>23</v>
      </c>
      <c r="J30" s="4" t="s">
        <v>265</v>
      </c>
      <c r="K30" s="4" t="s">
        <v>248</v>
      </c>
    </row>
    <row r="31" spans="1:11" ht="39.6" x14ac:dyDescent="0.3">
      <c r="A31" s="13" t="s">
        <v>205</v>
      </c>
      <c r="B31" s="9" t="s">
        <v>106</v>
      </c>
      <c r="C31" s="3" t="s">
        <v>107</v>
      </c>
      <c r="D31" s="3" t="s">
        <v>108</v>
      </c>
      <c r="E31" s="3" t="s">
        <v>109</v>
      </c>
      <c r="F31" s="3" t="s">
        <v>110</v>
      </c>
      <c r="G31" s="3" t="s">
        <v>111</v>
      </c>
      <c r="H31" s="11" t="s">
        <v>17</v>
      </c>
      <c r="I31" s="12" t="s">
        <v>18</v>
      </c>
      <c r="J31" s="4" t="s">
        <v>266</v>
      </c>
      <c r="K31" s="4" t="s">
        <v>248</v>
      </c>
    </row>
    <row r="32" spans="1:11" ht="39.6" x14ac:dyDescent="0.3">
      <c r="A32" s="13" t="s">
        <v>206</v>
      </c>
      <c r="B32" s="9" t="s">
        <v>106</v>
      </c>
      <c r="C32" s="3" t="s">
        <v>112</v>
      </c>
      <c r="D32" s="3" t="s">
        <v>108</v>
      </c>
      <c r="E32" s="3" t="s">
        <v>113</v>
      </c>
      <c r="F32" s="3" t="s">
        <v>81</v>
      </c>
      <c r="G32" s="3" t="s">
        <v>114</v>
      </c>
      <c r="H32" s="11" t="s">
        <v>17</v>
      </c>
      <c r="I32" s="12" t="s">
        <v>18</v>
      </c>
      <c r="J32" s="4" t="s">
        <v>267</v>
      </c>
      <c r="K32" s="4" t="s">
        <v>248</v>
      </c>
    </row>
    <row r="33" spans="1:11" ht="39.6" x14ac:dyDescent="0.3">
      <c r="A33" s="13" t="s">
        <v>207</v>
      </c>
      <c r="B33" s="9" t="s">
        <v>106</v>
      </c>
      <c r="C33" s="3" t="s">
        <v>115</v>
      </c>
      <c r="D33" s="3" t="s">
        <v>108</v>
      </c>
      <c r="E33" s="3" t="s">
        <v>116</v>
      </c>
      <c r="F33" s="3" t="s">
        <v>62</v>
      </c>
      <c r="G33" s="3" t="s">
        <v>117</v>
      </c>
      <c r="H33" s="11" t="s">
        <v>33</v>
      </c>
      <c r="I33" s="12" t="s">
        <v>18</v>
      </c>
      <c r="J33" s="4" t="s">
        <v>268</v>
      </c>
      <c r="K33" s="4" t="s">
        <v>248</v>
      </c>
    </row>
    <row r="34" spans="1:11" ht="39.6" x14ac:dyDescent="0.3">
      <c r="A34" s="13" t="s">
        <v>208</v>
      </c>
      <c r="B34" s="9" t="s">
        <v>106</v>
      </c>
      <c r="C34" s="3" t="s">
        <v>118</v>
      </c>
      <c r="D34" s="3" t="s">
        <v>108</v>
      </c>
      <c r="E34" s="3" t="s">
        <v>119</v>
      </c>
      <c r="F34" s="3" t="s">
        <v>62</v>
      </c>
      <c r="G34" s="3" t="s">
        <v>120</v>
      </c>
      <c r="H34" s="11" t="s">
        <v>33</v>
      </c>
      <c r="I34" s="12" t="s">
        <v>18</v>
      </c>
      <c r="J34" s="4" t="s">
        <v>265</v>
      </c>
      <c r="K34" s="4" t="s">
        <v>248</v>
      </c>
    </row>
    <row r="35" spans="1:11" ht="39.6" x14ac:dyDescent="0.3">
      <c r="A35" s="13" t="s">
        <v>209</v>
      </c>
      <c r="B35" s="9" t="s">
        <v>106</v>
      </c>
      <c r="C35" s="3" t="s">
        <v>121</v>
      </c>
      <c r="D35" s="3" t="s">
        <v>108</v>
      </c>
      <c r="E35" s="3" t="s">
        <v>122</v>
      </c>
      <c r="F35" s="3" t="s">
        <v>123</v>
      </c>
      <c r="G35" s="3" t="s">
        <v>124</v>
      </c>
      <c r="H35" s="11" t="s">
        <v>17</v>
      </c>
      <c r="I35" s="12" t="s">
        <v>18</v>
      </c>
      <c r="J35" s="4" t="s">
        <v>269</v>
      </c>
      <c r="K35" s="4" t="s">
        <v>248</v>
      </c>
    </row>
    <row r="36" spans="1:11" ht="66" x14ac:dyDescent="0.3">
      <c r="A36" s="13" t="s">
        <v>210</v>
      </c>
      <c r="B36" s="9" t="s">
        <v>106</v>
      </c>
      <c r="C36" s="3" t="s">
        <v>125</v>
      </c>
      <c r="D36" s="3" t="s">
        <v>108</v>
      </c>
      <c r="E36" s="3" t="s">
        <v>126</v>
      </c>
      <c r="F36" s="3" t="s">
        <v>127</v>
      </c>
      <c r="G36" s="3" t="s">
        <v>128</v>
      </c>
      <c r="H36" s="11" t="s">
        <v>33</v>
      </c>
      <c r="I36" s="12" t="s">
        <v>23</v>
      </c>
      <c r="J36" s="4" t="s">
        <v>263</v>
      </c>
      <c r="K36" s="4" t="s">
        <v>248</v>
      </c>
    </row>
    <row r="37" spans="1:11" ht="79.2" x14ac:dyDescent="0.3">
      <c r="A37" s="13" t="s">
        <v>211</v>
      </c>
      <c r="B37" s="10" t="s">
        <v>129</v>
      </c>
      <c r="C37" s="3" t="s">
        <v>130</v>
      </c>
      <c r="D37" s="3" t="s">
        <v>131</v>
      </c>
      <c r="E37" s="3" t="s">
        <v>237</v>
      </c>
      <c r="F37" s="3" t="s">
        <v>238</v>
      </c>
      <c r="G37" s="3" t="s">
        <v>132</v>
      </c>
      <c r="H37" s="11" t="s">
        <v>17</v>
      </c>
      <c r="I37" s="12" t="s">
        <v>18</v>
      </c>
      <c r="J37" s="4" t="s">
        <v>132</v>
      </c>
      <c r="K37" s="4" t="s">
        <v>248</v>
      </c>
    </row>
    <row r="38" spans="1:11" ht="66" x14ac:dyDescent="0.3">
      <c r="A38" s="13" t="s">
        <v>212</v>
      </c>
      <c r="B38" s="10" t="s">
        <v>129</v>
      </c>
      <c r="C38" s="3" t="s">
        <v>133</v>
      </c>
      <c r="D38" s="3" t="s">
        <v>131</v>
      </c>
      <c r="E38" s="3" t="s">
        <v>239</v>
      </c>
      <c r="F38" s="3" t="s">
        <v>240</v>
      </c>
      <c r="G38" s="3" t="s">
        <v>134</v>
      </c>
      <c r="H38" s="11" t="s">
        <v>17</v>
      </c>
      <c r="I38" s="12" t="s">
        <v>23</v>
      </c>
      <c r="J38" s="4" t="s">
        <v>270</v>
      </c>
      <c r="K38" s="4" t="s">
        <v>248</v>
      </c>
    </row>
    <row r="39" spans="1:11" ht="66" x14ac:dyDescent="0.3">
      <c r="A39" s="13" t="s">
        <v>213</v>
      </c>
      <c r="B39" s="10" t="s">
        <v>129</v>
      </c>
      <c r="C39" s="3" t="s">
        <v>135</v>
      </c>
      <c r="D39" s="3" t="s">
        <v>131</v>
      </c>
      <c r="E39" s="3" t="s">
        <v>136</v>
      </c>
      <c r="F39" s="3" t="s">
        <v>137</v>
      </c>
      <c r="G39" s="3" t="s">
        <v>138</v>
      </c>
      <c r="H39" s="11" t="s">
        <v>17</v>
      </c>
      <c r="I39" s="12" t="s">
        <v>23</v>
      </c>
      <c r="J39" s="4" t="s">
        <v>271</v>
      </c>
      <c r="K39" s="4" t="s">
        <v>248</v>
      </c>
    </row>
    <row r="40" spans="1:11" ht="66" x14ac:dyDescent="0.3">
      <c r="A40" s="13" t="s">
        <v>214</v>
      </c>
      <c r="B40" s="10" t="s">
        <v>129</v>
      </c>
      <c r="C40" s="3" t="s">
        <v>139</v>
      </c>
      <c r="D40" s="3" t="s">
        <v>131</v>
      </c>
      <c r="E40" s="3" t="s">
        <v>241</v>
      </c>
      <c r="F40" s="3" t="s">
        <v>242</v>
      </c>
      <c r="G40" s="3" t="s">
        <v>140</v>
      </c>
      <c r="H40" s="11" t="s">
        <v>17</v>
      </c>
      <c r="I40" s="12" t="s">
        <v>23</v>
      </c>
      <c r="J40" s="4" t="s">
        <v>272</v>
      </c>
      <c r="K40" s="4" t="s">
        <v>248</v>
      </c>
    </row>
    <row r="41" spans="1:11" ht="66" x14ac:dyDescent="0.3">
      <c r="A41" s="13" t="s">
        <v>215</v>
      </c>
      <c r="B41" s="10" t="s">
        <v>129</v>
      </c>
      <c r="C41" s="3" t="s">
        <v>141</v>
      </c>
      <c r="D41" s="3" t="s">
        <v>131</v>
      </c>
      <c r="E41" s="3" t="s">
        <v>142</v>
      </c>
      <c r="F41" s="3" t="s">
        <v>143</v>
      </c>
      <c r="G41" s="3" t="s">
        <v>144</v>
      </c>
      <c r="H41" s="11" t="s">
        <v>17</v>
      </c>
      <c r="I41" s="12" t="s">
        <v>23</v>
      </c>
      <c r="J41" s="4" t="s">
        <v>263</v>
      </c>
      <c r="K41" s="4" t="s">
        <v>248</v>
      </c>
    </row>
    <row r="42" spans="1:11" ht="66" x14ac:dyDescent="0.3">
      <c r="A42" s="13" t="s">
        <v>216</v>
      </c>
      <c r="B42" s="10" t="s">
        <v>129</v>
      </c>
      <c r="C42" s="3" t="s">
        <v>145</v>
      </c>
      <c r="D42" s="3" t="s">
        <v>131</v>
      </c>
      <c r="E42" s="3" t="s">
        <v>146</v>
      </c>
      <c r="F42" s="3" t="s">
        <v>62</v>
      </c>
      <c r="G42" s="3" t="s">
        <v>147</v>
      </c>
      <c r="H42" s="11" t="s">
        <v>33</v>
      </c>
      <c r="I42" s="12" t="s">
        <v>18</v>
      </c>
      <c r="J42" s="4" t="s">
        <v>273</v>
      </c>
      <c r="K42" s="4" t="s">
        <v>248</v>
      </c>
    </row>
    <row r="43" spans="1:11" ht="79.2" x14ac:dyDescent="0.3">
      <c r="A43" s="13" t="s">
        <v>217</v>
      </c>
      <c r="B43" s="10" t="s">
        <v>129</v>
      </c>
      <c r="C43" s="3" t="s">
        <v>148</v>
      </c>
      <c r="D43" s="3" t="s">
        <v>149</v>
      </c>
      <c r="E43" s="3" t="s">
        <v>150</v>
      </c>
      <c r="F43" s="3" t="s">
        <v>238</v>
      </c>
      <c r="G43" s="3" t="s">
        <v>151</v>
      </c>
      <c r="H43" s="11" t="s">
        <v>17</v>
      </c>
      <c r="I43" s="12" t="s">
        <v>18</v>
      </c>
      <c r="J43" s="4" t="s">
        <v>265</v>
      </c>
      <c r="K43" s="4" t="s">
        <v>248</v>
      </c>
    </row>
    <row r="44" spans="1:11" ht="52.8" x14ac:dyDescent="0.3">
      <c r="A44" s="13" t="s">
        <v>218</v>
      </c>
      <c r="B44" s="10" t="s">
        <v>129</v>
      </c>
      <c r="C44" s="3" t="s">
        <v>153</v>
      </c>
      <c r="D44" s="3" t="s">
        <v>152</v>
      </c>
      <c r="E44" s="3" t="s">
        <v>154</v>
      </c>
      <c r="F44" s="3" t="s">
        <v>62</v>
      </c>
      <c r="G44" s="3" t="s">
        <v>155</v>
      </c>
      <c r="H44" s="11" t="s">
        <v>17</v>
      </c>
      <c r="I44" s="12" t="s">
        <v>18</v>
      </c>
      <c r="J44" s="4" t="s">
        <v>274</v>
      </c>
      <c r="K44" s="4" t="s">
        <v>248</v>
      </c>
    </row>
    <row r="45" spans="1:11" ht="39.6" x14ac:dyDescent="0.3">
      <c r="A45" s="13" t="s">
        <v>219</v>
      </c>
      <c r="B45" s="10" t="s">
        <v>129</v>
      </c>
      <c r="C45" s="3" t="s">
        <v>156</v>
      </c>
      <c r="D45" s="3" t="s">
        <v>157</v>
      </c>
      <c r="E45" s="3" t="s">
        <v>158</v>
      </c>
      <c r="F45" s="3" t="s">
        <v>62</v>
      </c>
      <c r="G45" s="3" t="s">
        <v>159</v>
      </c>
      <c r="H45" s="11" t="s">
        <v>33</v>
      </c>
      <c r="I45" s="12" t="s">
        <v>18</v>
      </c>
      <c r="J45" s="4" t="s">
        <v>159</v>
      </c>
      <c r="K45" s="4" t="s">
        <v>248</v>
      </c>
    </row>
    <row r="46" spans="1:11" ht="66" x14ac:dyDescent="0.3">
      <c r="A46" s="13" t="s">
        <v>220</v>
      </c>
      <c r="B46" s="10" t="s">
        <v>129</v>
      </c>
      <c r="C46" s="3" t="s">
        <v>160</v>
      </c>
      <c r="D46" s="3" t="s">
        <v>131</v>
      </c>
      <c r="E46" s="3" t="s">
        <v>243</v>
      </c>
      <c r="F46" s="3" t="s">
        <v>244</v>
      </c>
      <c r="G46" s="3" t="s">
        <v>161</v>
      </c>
      <c r="H46" s="11" t="s">
        <v>45</v>
      </c>
      <c r="I46" s="12" t="s">
        <v>18</v>
      </c>
      <c r="J46" s="4" t="s">
        <v>275</v>
      </c>
      <c r="K46" s="4" t="s">
        <v>248</v>
      </c>
    </row>
    <row r="47" spans="1:11" ht="66" x14ac:dyDescent="0.3">
      <c r="A47" s="13" t="s">
        <v>221</v>
      </c>
      <c r="B47" s="10" t="s">
        <v>129</v>
      </c>
      <c r="C47" s="3" t="s">
        <v>245</v>
      </c>
      <c r="D47" s="3" t="s">
        <v>131</v>
      </c>
      <c r="E47" s="3" t="s">
        <v>246</v>
      </c>
      <c r="F47" s="3" t="s">
        <v>162</v>
      </c>
      <c r="G47" s="3" t="s">
        <v>163</v>
      </c>
      <c r="H47" s="11" t="s">
        <v>45</v>
      </c>
      <c r="I47" s="12" t="s">
        <v>23</v>
      </c>
      <c r="J47" s="4" t="s">
        <v>276</v>
      </c>
      <c r="K47" s="4" t="s">
        <v>248</v>
      </c>
    </row>
    <row r="48" spans="1:11" ht="52.8" x14ac:dyDescent="0.3">
      <c r="A48" s="13" t="s">
        <v>222</v>
      </c>
      <c r="B48" s="9" t="s">
        <v>164</v>
      </c>
      <c r="C48" s="3" t="s">
        <v>165</v>
      </c>
      <c r="D48" s="3" t="s">
        <v>166</v>
      </c>
      <c r="E48" s="3" t="s">
        <v>167</v>
      </c>
      <c r="F48" s="3" t="s">
        <v>62</v>
      </c>
      <c r="G48" s="3" t="s">
        <v>168</v>
      </c>
      <c r="H48" s="11" t="s">
        <v>17</v>
      </c>
      <c r="I48" s="12" t="s">
        <v>18</v>
      </c>
      <c r="J48" s="4" t="s">
        <v>277</v>
      </c>
      <c r="K48" s="4" t="s">
        <v>248</v>
      </c>
    </row>
    <row r="49" spans="1:11" ht="52.8" x14ac:dyDescent="0.3">
      <c r="A49" s="13" t="s">
        <v>223</v>
      </c>
      <c r="B49" s="9" t="s">
        <v>164</v>
      </c>
      <c r="C49" s="3" t="s">
        <v>169</v>
      </c>
      <c r="D49" s="3" t="s">
        <v>166</v>
      </c>
      <c r="E49" s="3" t="s">
        <v>170</v>
      </c>
      <c r="F49" s="3" t="s">
        <v>62</v>
      </c>
      <c r="G49" s="3" t="s">
        <v>171</v>
      </c>
      <c r="H49" s="11" t="s">
        <v>17</v>
      </c>
      <c r="I49" s="12" t="s">
        <v>23</v>
      </c>
      <c r="J49" s="4" t="s">
        <v>278</v>
      </c>
      <c r="K49" s="4" t="s">
        <v>248</v>
      </c>
    </row>
    <row r="50" spans="1:11" ht="52.8" x14ac:dyDescent="0.3">
      <c r="A50" s="13" t="s">
        <v>224</v>
      </c>
      <c r="B50" s="9" t="s">
        <v>164</v>
      </c>
      <c r="C50" s="3" t="s">
        <v>172</v>
      </c>
      <c r="D50" s="3" t="s">
        <v>166</v>
      </c>
      <c r="E50" s="3" t="s">
        <v>173</v>
      </c>
      <c r="F50" s="3" t="s">
        <v>174</v>
      </c>
      <c r="G50" s="3" t="s">
        <v>175</v>
      </c>
      <c r="H50" s="11" t="s">
        <v>33</v>
      </c>
      <c r="I50" s="12" t="s">
        <v>18</v>
      </c>
      <c r="J50" s="4" t="s">
        <v>279</v>
      </c>
      <c r="K50" s="4" t="s">
        <v>248</v>
      </c>
    </row>
  </sheetData>
  <hyperlinks>
    <hyperlink ref="B3" r:id="rId1" xr:uid="{42C46BAC-41A9-4BA5-97DE-B1734991FC13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6" customWidth="1"/>
    <col min="3" max="4" width="10" customWidth="1"/>
    <col min="5" max="5" width="12" customWidth="1"/>
    <col min="6" max="6" width="14" customWidth="1"/>
    <col min="7" max="7" width="12" customWidth="1"/>
  </cols>
  <sheetData>
    <row r="1" spans="1:7" ht="17.399999999999999" x14ac:dyDescent="0.3">
      <c r="A1" s="17" t="s">
        <v>176</v>
      </c>
      <c r="B1" s="17"/>
      <c r="C1" s="17"/>
      <c r="D1" s="17"/>
      <c r="E1" s="17"/>
      <c r="F1" s="17"/>
      <c r="G1" s="17"/>
    </row>
    <row r="3" spans="1:7" ht="27.6" x14ac:dyDescent="0.3">
      <c r="A3" s="1" t="s">
        <v>1</v>
      </c>
      <c r="B3" s="1" t="s">
        <v>177</v>
      </c>
      <c r="C3" s="1" t="s">
        <v>18</v>
      </c>
      <c r="D3" s="1" t="s">
        <v>23</v>
      </c>
      <c r="E3" s="1" t="s">
        <v>178</v>
      </c>
      <c r="F3" s="1" t="s">
        <v>179</v>
      </c>
      <c r="G3" s="1" t="s">
        <v>180</v>
      </c>
    </row>
    <row r="4" spans="1:7" x14ac:dyDescent="0.3">
      <c r="A4" s="3" t="s">
        <v>11</v>
      </c>
      <c r="B4" s="4">
        <f>COUNTIF('Test Cases'!$B$8:$B$50,A4)</f>
        <v>11</v>
      </c>
      <c r="C4" s="4">
        <f>COUNTIFS('Test Cases'!$B$8:$B$50,A4,'Test Cases'!$I$8:$I$50,"Positive")</f>
        <v>3</v>
      </c>
      <c r="D4" s="4">
        <f>COUNTIFS('Test Cases'!$B$8:$B$50,A4,'Test Cases'!$I$8:$I$50,"Negative")</f>
        <v>8</v>
      </c>
      <c r="E4" s="4">
        <f>COUNTIFS('Test Cases'!$B$8:$B$50,A4,'Test Cases'!$H$8:$H$50,"High")</f>
        <v>5</v>
      </c>
      <c r="F4" s="4">
        <f>COUNTIFS('Test Cases'!$B$8:$B$50,A4,'Test Cases'!$H$8:$H$50,"Medium")</f>
        <v>5</v>
      </c>
      <c r="G4" s="4">
        <f>COUNTIFS('Test Cases'!$B$8:$B$50,A4,'Test Cases'!$H$8:$H$50,"Low")</f>
        <v>1</v>
      </c>
    </row>
    <row r="5" spans="1:7" x14ac:dyDescent="0.3">
      <c r="A5" s="3" t="s">
        <v>58</v>
      </c>
      <c r="B5" s="4">
        <f>COUNTIF('Test Cases'!$B$8:$B$50,A5)</f>
        <v>12</v>
      </c>
      <c r="C5" s="4">
        <f>COUNTIFS('Test Cases'!$B$8:$B$50,A5,'Test Cases'!$I$8:$I$50,"Positive")</f>
        <v>11</v>
      </c>
      <c r="D5" s="4">
        <f>COUNTIFS('Test Cases'!$B$8:$B$50,A5,'Test Cases'!$I$8:$I$50,"Negative")</f>
        <v>1</v>
      </c>
      <c r="E5" s="4">
        <f>COUNTIFS('Test Cases'!$B$8:$B$50,A5,'Test Cases'!$H$8:$H$50,"High")</f>
        <v>5</v>
      </c>
      <c r="F5" s="4">
        <f>COUNTIFS('Test Cases'!$B$8:$B$50,A5,'Test Cases'!$H$8:$H$50,"Medium")</f>
        <v>7</v>
      </c>
      <c r="G5" s="4">
        <f>COUNTIFS('Test Cases'!$B$8:$B$50,A5,'Test Cases'!$H$8:$H$50,"Low")</f>
        <v>0</v>
      </c>
    </row>
    <row r="6" spans="1:7" x14ac:dyDescent="0.3">
      <c r="A6" s="3" t="s">
        <v>106</v>
      </c>
      <c r="B6" s="4">
        <f>COUNTIF('Test Cases'!$B$8:$B$50,A6)</f>
        <v>6</v>
      </c>
      <c r="C6" s="4">
        <f>COUNTIFS('Test Cases'!$B$8:$B$50,A6,'Test Cases'!$I$8:$I$50,"Positive")</f>
        <v>5</v>
      </c>
      <c r="D6" s="4">
        <f>COUNTIFS('Test Cases'!$B$8:$B$50,A6,'Test Cases'!$I$8:$I$50,"Negative")</f>
        <v>1</v>
      </c>
      <c r="E6" s="4">
        <f>COUNTIFS('Test Cases'!$B$8:$B$50,A6,'Test Cases'!$H$8:$H$50,"High")</f>
        <v>3</v>
      </c>
      <c r="F6" s="4">
        <f>COUNTIFS('Test Cases'!$B$8:$B$50,A6,'Test Cases'!$H$8:$H$50,"Medium")</f>
        <v>3</v>
      </c>
      <c r="G6" s="4">
        <f>COUNTIFS('Test Cases'!$B$8:$B$50,A6,'Test Cases'!$H$8:$H$50,"Low")</f>
        <v>0</v>
      </c>
    </row>
    <row r="7" spans="1:7" x14ac:dyDescent="0.3">
      <c r="A7" s="3" t="s">
        <v>129</v>
      </c>
      <c r="B7" s="4">
        <f>COUNTIF('Test Cases'!$B$8:$B$50,A7)</f>
        <v>11</v>
      </c>
      <c r="C7" s="4">
        <f>COUNTIFS('Test Cases'!$B$8:$B$50,A7,'Test Cases'!$I$8:$I$50,"Positive")</f>
        <v>6</v>
      </c>
      <c r="D7" s="4">
        <f>COUNTIFS('Test Cases'!$B$8:$B$50,A7,'Test Cases'!$I$8:$I$50,"Negative")</f>
        <v>5</v>
      </c>
      <c r="E7" s="4">
        <f>COUNTIFS('Test Cases'!$B$8:$B$50,A7,'Test Cases'!$H$8:$H$50,"High")</f>
        <v>7</v>
      </c>
      <c r="F7" s="4">
        <f>COUNTIFS('Test Cases'!$B$8:$B$50,A7,'Test Cases'!$H$8:$H$50,"Medium")</f>
        <v>2</v>
      </c>
      <c r="G7" s="4">
        <f>COUNTIFS('Test Cases'!$B$8:$B$50,A7,'Test Cases'!$H$8:$H$50,"Low")</f>
        <v>2</v>
      </c>
    </row>
    <row r="8" spans="1:7" x14ac:dyDescent="0.3">
      <c r="A8" s="3" t="s">
        <v>164</v>
      </c>
      <c r="B8" s="4">
        <f>COUNTIF('Test Cases'!$B$8:$B$50,A8)</f>
        <v>3</v>
      </c>
      <c r="C8" s="4">
        <f>COUNTIFS('Test Cases'!$B$8:$B$50,A8,'Test Cases'!$I$8:$I$50,"Positive")</f>
        <v>2</v>
      </c>
      <c r="D8" s="4">
        <f>COUNTIFS('Test Cases'!$B$8:$B$50,A8,'Test Cases'!$I$8:$I$50,"Negative")</f>
        <v>1</v>
      </c>
      <c r="E8" s="4">
        <f>COUNTIFS('Test Cases'!$B$8:$B$50,A8,'Test Cases'!$H$8:$H$50,"High")</f>
        <v>2</v>
      </c>
      <c r="F8" s="4">
        <f>COUNTIFS('Test Cases'!$B$8:$B$50,A8,'Test Cases'!$H$8:$H$50,"Medium")</f>
        <v>1</v>
      </c>
      <c r="G8" s="4">
        <f>COUNTIFS('Test Cases'!$B$8:$B$50,A8,'Test Cases'!$H$8:$H$50,"Low")</f>
        <v>0</v>
      </c>
    </row>
    <row r="9" spans="1:7" x14ac:dyDescent="0.3">
      <c r="A9" s="5" t="s">
        <v>181</v>
      </c>
      <c r="B9" s="2">
        <f t="shared" ref="B9:G9" si="0">SUM(B4:B8)</f>
        <v>43</v>
      </c>
      <c r="C9" s="2">
        <f t="shared" si="0"/>
        <v>27</v>
      </c>
      <c r="D9" s="2">
        <f t="shared" si="0"/>
        <v>16</v>
      </c>
      <c r="E9" s="2">
        <f t="shared" si="0"/>
        <v>22</v>
      </c>
      <c r="F9" s="2">
        <f t="shared" si="0"/>
        <v>18</v>
      </c>
      <c r="G9" s="2">
        <f t="shared" si="0"/>
        <v>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Shakthi.dharshan@outlook.com</cp:lastModifiedBy>
  <cp:revision>0</cp:revision>
  <dcterms:created xsi:type="dcterms:W3CDTF">2026-09-09T14:18:58Z</dcterms:created>
  <dcterms:modified xsi:type="dcterms:W3CDTF">2026-09-10T08:45:39Z</dcterms:modified>
  <dc:language>en-US</dc:language>
</cp:coreProperties>
</file>